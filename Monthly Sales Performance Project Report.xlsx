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b9d027ec3c4c22/Personal/Skills/Financial Modelling ^0 Valuation/TuteDude/Assignment 1/"/>
    </mc:Choice>
  </mc:AlternateContent>
  <xr:revisionPtr revIDLastSave="223" documentId="8_{CA4BE62A-64A2-4D69-9C0B-4B9CD7628CCE}" xr6:coauthVersionLast="47" xr6:coauthVersionMax="47" xr10:uidLastSave="{F1827D36-9BCF-4145-A086-492F56DFEAE4}"/>
  <bookViews>
    <workbookView xWindow="-108" yWindow="-108" windowWidth="23256" windowHeight="12456" xr2:uid="{511052A8-2813-4127-A71B-9DA48B067BFC}"/>
  </bookViews>
  <sheets>
    <sheet name="Sales Data" sheetId="1" r:id="rId1"/>
    <sheet name="Copied Data" sheetId="4" r:id="rId2"/>
    <sheet name="Transposed Data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6" l="1"/>
  <c r="E8" i="6"/>
  <c r="J7" i="6"/>
  <c r="G7" i="6"/>
  <c r="B7" i="6"/>
  <c r="K6" i="6"/>
  <c r="K8" i="6" s="1"/>
  <c r="J6" i="6"/>
  <c r="J8" i="6" s="1"/>
  <c r="I6" i="6"/>
  <c r="I8" i="6" s="1"/>
  <c r="H6" i="6"/>
  <c r="H7" i="6" s="1"/>
  <c r="G6" i="6"/>
  <c r="G8" i="6" s="1"/>
  <c r="F6" i="6"/>
  <c r="F8" i="6" s="1"/>
  <c r="E6" i="6"/>
  <c r="E7" i="6" s="1"/>
  <c r="D6" i="6"/>
  <c r="D7" i="6" s="1"/>
  <c r="C6" i="6"/>
  <c r="C8" i="6" s="1"/>
  <c r="B6" i="6"/>
  <c r="B8" i="6" s="1"/>
  <c r="B16" i="1"/>
  <c r="B15" i="1"/>
  <c r="B14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8" i="1"/>
  <c r="G9" i="1"/>
  <c r="G10" i="1"/>
  <c r="G11" i="1"/>
  <c r="G2" i="1"/>
  <c r="F3" i="1"/>
  <c r="F4" i="1"/>
  <c r="F5" i="1"/>
  <c r="F6" i="1"/>
  <c r="F7" i="1"/>
  <c r="G7" i="1" s="1"/>
  <c r="F8" i="1"/>
  <c r="F9" i="1"/>
  <c r="F10" i="1"/>
  <c r="F11" i="1"/>
  <c r="F2" i="1"/>
  <c r="F7" i="6" l="1"/>
  <c r="D8" i="6"/>
  <c r="I7" i="6"/>
  <c r="C7" i="6"/>
  <c r="K7" i="6"/>
</calcChain>
</file>

<file path=xl/sharedStrings.xml><?xml version="1.0" encoding="utf-8"?>
<sst xmlns="http://schemas.openxmlformats.org/spreadsheetml/2006/main" count="122" uniqueCount="30">
  <si>
    <t>Salesperson Name</t>
  </si>
  <si>
    <t>Region</t>
  </si>
  <si>
    <t>Product</t>
  </si>
  <si>
    <t>Units Sold</t>
  </si>
  <si>
    <t>Total Sales</t>
  </si>
  <si>
    <t>Incentive</t>
  </si>
  <si>
    <t>Price per Unit (₹)</t>
  </si>
  <si>
    <t>Arjun Mehta</t>
  </si>
  <si>
    <t>North</t>
  </si>
  <si>
    <t>Laptop</t>
  </si>
  <si>
    <t>Priya Sharma</t>
  </si>
  <si>
    <t>South</t>
  </si>
  <si>
    <t>Printer</t>
  </si>
  <si>
    <t>Rohit Verma</t>
  </si>
  <si>
    <t>East</t>
  </si>
  <si>
    <t>Tablet</t>
  </si>
  <si>
    <t>Sneha Nair</t>
  </si>
  <si>
    <t>West</t>
  </si>
  <si>
    <t>Karan Luthra</t>
  </si>
  <si>
    <t>Monitor</t>
  </si>
  <si>
    <t>Divya Pillai</t>
  </si>
  <si>
    <t>Amit Joshi</t>
  </si>
  <si>
    <t>Tanya Rao</t>
  </si>
  <si>
    <t>Sameer Gupta</t>
  </si>
  <si>
    <t>Neha Agarwal</t>
  </si>
  <si>
    <t>Incentive Rate</t>
  </si>
  <si>
    <t>Summary Calculations</t>
  </si>
  <si>
    <t>Total Units Sold</t>
  </si>
  <si>
    <t>Total Revenue (₹)</t>
  </si>
  <si>
    <t>Total Incentive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</si>
</sst>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393F-D24A-4D8D-BEE7-2A11DB2756ED}">
  <dimension ref="A1:H16"/>
  <sheetViews>
    <sheetView tabSelected="1" workbookViewId="0"/>
  </sheetViews>
  <sheetFormatPr defaultRowHeight="14.4" x14ac:dyDescent="0.3"/>
  <cols>
    <col min="1" max="1" width="20" bestFit="1" customWidth="1"/>
    <col min="2" max="2" width="13.109375" bestFit="1" customWidth="1"/>
    <col min="3" max="4" width="10.77734375" customWidth="1"/>
    <col min="5" max="8" width="14.77734375" customWidth="1"/>
  </cols>
  <sheetData>
    <row r="1" spans="1:8" ht="25.0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4</v>
      </c>
      <c r="G1" s="5" t="s">
        <v>5</v>
      </c>
      <c r="H1" s="5" t="s">
        <v>25</v>
      </c>
    </row>
    <row r="2" spans="1:8" ht="19.95" customHeight="1" x14ac:dyDescent="0.3">
      <c r="A2" s="1" t="s">
        <v>7</v>
      </c>
      <c r="B2" s="1" t="s">
        <v>8</v>
      </c>
      <c r="C2" s="1" t="s">
        <v>9</v>
      </c>
      <c r="D2" s="1">
        <v>25</v>
      </c>
      <c r="E2" s="2">
        <v>45000</v>
      </c>
      <c r="F2" s="2">
        <f>D2*E2</f>
        <v>1125000</v>
      </c>
      <c r="G2" s="2">
        <f>IF(F2&gt;50000,F2*10%,F2*5%)</f>
        <v>112500</v>
      </c>
      <c r="H2" s="3">
        <f>IF(F2&gt;50000,10%,5%)</f>
        <v>0.1</v>
      </c>
    </row>
    <row r="3" spans="1:8" ht="19.95" customHeight="1" x14ac:dyDescent="0.3">
      <c r="A3" s="1" t="s">
        <v>10</v>
      </c>
      <c r="B3" s="1" t="s">
        <v>11</v>
      </c>
      <c r="C3" s="1" t="s">
        <v>12</v>
      </c>
      <c r="D3" s="1">
        <v>40</v>
      </c>
      <c r="E3" s="2">
        <v>8500</v>
      </c>
      <c r="F3" s="2">
        <f t="shared" ref="F3:F11" si="0">D3*E3</f>
        <v>340000</v>
      </c>
      <c r="G3" s="2">
        <f t="shared" ref="G3:G11" si="1">IF(F3&gt;50000,F3*10%,F3*5%)</f>
        <v>34000</v>
      </c>
      <c r="H3" s="3">
        <f t="shared" ref="H3:H11" si="2">IF(F3&gt;50000,10%,5%)</f>
        <v>0.1</v>
      </c>
    </row>
    <row r="4" spans="1:8" ht="19.95" customHeight="1" x14ac:dyDescent="0.3">
      <c r="A4" s="1" t="s">
        <v>13</v>
      </c>
      <c r="B4" s="1" t="s">
        <v>14</v>
      </c>
      <c r="C4" s="1" t="s">
        <v>15</v>
      </c>
      <c r="D4" s="1">
        <v>1</v>
      </c>
      <c r="E4" s="2">
        <v>22000</v>
      </c>
      <c r="F4" s="2">
        <f t="shared" si="0"/>
        <v>22000</v>
      </c>
      <c r="G4" s="2">
        <f t="shared" si="1"/>
        <v>1100</v>
      </c>
      <c r="H4" s="3">
        <f t="shared" si="2"/>
        <v>0.05</v>
      </c>
    </row>
    <row r="5" spans="1:8" ht="19.95" customHeight="1" x14ac:dyDescent="0.3">
      <c r="A5" s="1" t="s">
        <v>16</v>
      </c>
      <c r="B5" s="1" t="s">
        <v>17</v>
      </c>
      <c r="C5" s="1" t="s">
        <v>9</v>
      </c>
      <c r="D5" s="1">
        <v>30</v>
      </c>
      <c r="E5" s="2">
        <v>45000</v>
      </c>
      <c r="F5" s="2">
        <f t="shared" si="0"/>
        <v>1350000</v>
      </c>
      <c r="G5" s="2">
        <f t="shared" si="1"/>
        <v>135000</v>
      </c>
      <c r="H5" s="3">
        <f t="shared" si="2"/>
        <v>0.1</v>
      </c>
    </row>
    <row r="6" spans="1:8" ht="19.95" customHeight="1" x14ac:dyDescent="0.3">
      <c r="A6" s="1" t="s">
        <v>18</v>
      </c>
      <c r="B6" s="1" t="s">
        <v>8</v>
      </c>
      <c r="C6" s="1" t="s">
        <v>19</v>
      </c>
      <c r="D6" s="1">
        <v>50</v>
      </c>
      <c r="E6" s="2">
        <v>12000</v>
      </c>
      <c r="F6" s="2">
        <f t="shared" si="0"/>
        <v>600000</v>
      </c>
      <c r="G6" s="2">
        <f t="shared" si="1"/>
        <v>60000</v>
      </c>
      <c r="H6" s="3">
        <f t="shared" si="2"/>
        <v>0.1</v>
      </c>
    </row>
    <row r="7" spans="1:8" ht="19.95" customHeight="1" x14ac:dyDescent="0.3">
      <c r="A7" s="1" t="s">
        <v>20</v>
      </c>
      <c r="B7" s="1" t="s">
        <v>11</v>
      </c>
      <c r="C7" s="1" t="s">
        <v>15</v>
      </c>
      <c r="D7" s="1">
        <v>2</v>
      </c>
      <c r="E7" s="2">
        <v>22000</v>
      </c>
      <c r="F7" s="2">
        <f t="shared" si="0"/>
        <v>44000</v>
      </c>
      <c r="G7" s="2">
        <f t="shared" si="1"/>
        <v>2200</v>
      </c>
      <c r="H7" s="3">
        <f t="shared" si="2"/>
        <v>0.05</v>
      </c>
    </row>
    <row r="8" spans="1:8" ht="19.95" customHeight="1" x14ac:dyDescent="0.3">
      <c r="A8" s="1" t="s">
        <v>21</v>
      </c>
      <c r="B8" s="1" t="s">
        <v>14</v>
      </c>
      <c r="C8" s="1" t="s">
        <v>12</v>
      </c>
      <c r="D8" s="1">
        <v>60</v>
      </c>
      <c r="E8" s="2">
        <v>8500</v>
      </c>
      <c r="F8" s="2">
        <f t="shared" si="0"/>
        <v>510000</v>
      </c>
      <c r="G8" s="2">
        <f t="shared" si="1"/>
        <v>51000</v>
      </c>
      <c r="H8" s="3">
        <f t="shared" si="2"/>
        <v>0.1</v>
      </c>
    </row>
    <row r="9" spans="1:8" ht="19.95" customHeight="1" x14ac:dyDescent="0.3">
      <c r="A9" s="1" t="s">
        <v>22</v>
      </c>
      <c r="B9" s="1" t="s">
        <v>17</v>
      </c>
      <c r="C9" s="1" t="s">
        <v>19</v>
      </c>
      <c r="D9" s="1">
        <v>35</v>
      </c>
      <c r="E9" s="2">
        <v>12000</v>
      </c>
      <c r="F9" s="2">
        <f t="shared" si="0"/>
        <v>420000</v>
      </c>
      <c r="G9" s="2">
        <f t="shared" si="1"/>
        <v>42000</v>
      </c>
      <c r="H9" s="3">
        <f t="shared" si="2"/>
        <v>0.1</v>
      </c>
    </row>
    <row r="10" spans="1:8" ht="19.95" customHeight="1" x14ac:dyDescent="0.3">
      <c r="A10" s="1" t="s">
        <v>23</v>
      </c>
      <c r="B10" s="1" t="s">
        <v>8</v>
      </c>
      <c r="C10" s="1" t="s">
        <v>9</v>
      </c>
      <c r="D10" s="1">
        <v>10</v>
      </c>
      <c r="E10" s="2">
        <v>45000</v>
      </c>
      <c r="F10" s="2">
        <f t="shared" si="0"/>
        <v>450000</v>
      </c>
      <c r="G10" s="2">
        <f t="shared" si="1"/>
        <v>45000</v>
      </c>
      <c r="H10" s="3">
        <f t="shared" si="2"/>
        <v>0.1</v>
      </c>
    </row>
    <row r="11" spans="1:8" ht="19.95" customHeight="1" x14ac:dyDescent="0.3">
      <c r="A11" s="1" t="s">
        <v>24</v>
      </c>
      <c r="B11" s="1" t="s">
        <v>11</v>
      </c>
      <c r="C11" s="1" t="s">
        <v>12</v>
      </c>
      <c r="D11" s="1">
        <v>45</v>
      </c>
      <c r="E11" s="2">
        <v>8500</v>
      </c>
      <c r="F11" s="2">
        <f t="shared" si="0"/>
        <v>382500</v>
      </c>
      <c r="G11" s="2">
        <f t="shared" si="1"/>
        <v>38250</v>
      </c>
      <c r="H11" s="3">
        <f t="shared" si="2"/>
        <v>0.1</v>
      </c>
    </row>
    <row r="13" spans="1:8" ht="25.05" customHeight="1" x14ac:dyDescent="0.3">
      <c r="A13" s="6" t="s">
        <v>26</v>
      </c>
      <c r="B13" s="6"/>
    </row>
    <row r="14" spans="1:8" ht="19.95" customHeight="1" x14ac:dyDescent="0.3">
      <c r="A14" s="4" t="s">
        <v>27</v>
      </c>
      <c r="B14" s="1">
        <f>SUM(D2:D11)</f>
        <v>298</v>
      </c>
    </row>
    <row r="15" spans="1:8" ht="19.95" customHeight="1" x14ac:dyDescent="0.3">
      <c r="A15" s="4" t="s">
        <v>28</v>
      </c>
      <c r="B15" s="2">
        <f>SUM(F2:F11)</f>
        <v>5243500</v>
      </c>
    </row>
    <row r="16" spans="1:8" ht="19.95" customHeight="1" x14ac:dyDescent="0.3">
      <c r="A16" s="4" t="s">
        <v>29</v>
      </c>
      <c r="B16" s="2">
        <f>SUM(G2:G11)</f>
        <v>521050</v>
      </c>
    </row>
  </sheetData>
  <mergeCells count="1"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3179-0584-46D3-8549-741BAE65E607}">
  <dimension ref="A1:H16"/>
  <sheetViews>
    <sheetView zoomScale="131" workbookViewId="0"/>
  </sheetViews>
  <sheetFormatPr defaultRowHeight="14.4" x14ac:dyDescent="0.3"/>
  <cols>
    <col min="1" max="1" width="19.109375" bestFit="1" customWidth="1"/>
    <col min="2" max="2" width="8" bestFit="1" customWidth="1"/>
    <col min="3" max="3" width="7.33203125" bestFit="1" customWidth="1"/>
    <col min="5" max="5" width="14.33203125" bestFit="1" customWidth="1"/>
    <col min="6" max="6" width="9.5546875" bestFit="1" customWidth="1"/>
    <col min="8" max="8" width="12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25</v>
      </c>
    </row>
    <row r="2" spans="1:8" x14ac:dyDescent="0.3">
      <c r="A2" t="s">
        <v>7</v>
      </c>
      <c r="B2" t="s">
        <v>8</v>
      </c>
      <c r="C2" t="s">
        <v>9</v>
      </c>
      <c r="D2">
        <v>25</v>
      </c>
      <c r="E2">
        <v>45000</v>
      </c>
      <c r="F2">
        <v>1125000</v>
      </c>
      <c r="G2">
        <v>112500</v>
      </c>
      <c r="H2">
        <v>0.1</v>
      </c>
    </row>
    <row r="3" spans="1:8" x14ac:dyDescent="0.3">
      <c r="A3" t="s">
        <v>10</v>
      </c>
      <c r="B3" t="s">
        <v>11</v>
      </c>
      <c r="C3" t="s">
        <v>12</v>
      </c>
      <c r="D3">
        <v>40</v>
      </c>
      <c r="E3">
        <v>8500</v>
      </c>
      <c r="F3">
        <v>340000</v>
      </c>
      <c r="G3">
        <v>34000</v>
      </c>
      <c r="H3">
        <v>0.1</v>
      </c>
    </row>
    <row r="4" spans="1:8" x14ac:dyDescent="0.3">
      <c r="A4" t="s">
        <v>13</v>
      </c>
      <c r="B4" t="s">
        <v>14</v>
      </c>
      <c r="C4" t="s">
        <v>15</v>
      </c>
      <c r="D4">
        <v>1</v>
      </c>
      <c r="E4">
        <v>22000</v>
      </c>
      <c r="F4">
        <v>22000</v>
      </c>
      <c r="G4">
        <v>1100</v>
      </c>
      <c r="H4">
        <v>0.05</v>
      </c>
    </row>
    <row r="5" spans="1:8" x14ac:dyDescent="0.3">
      <c r="A5" t="s">
        <v>16</v>
      </c>
      <c r="B5" t="s">
        <v>17</v>
      </c>
      <c r="C5" t="s">
        <v>9</v>
      </c>
      <c r="D5">
        <v>30</v>
      </c>
      <c r="E5">
        <v>45000</v>
      </c>
      <c r="F5">
        <v>1350000</v>
      </c>
      <c r="G5">
        <v>135000</v>
      </c>
      <c r="H5">
        <v>0.1</v>
      </c>
    </row>
    <row r="6" spans="1:8" x14ac:dyDescent="0.3">
      <c r="A6" t="s">
        <v>18</v>
      </c>
      <c r="B6" t="s">
        <v>8</v>
      </c>
      <c r="C6" t="s">
        <v>19</v>
      </c>
      <c r="D6">
        <v>50</v>
      </c>
      <c r="E6">
        <v>12000</v>
      </c>
      <c r="F6">
        <v>600000</v>
      </c>
      <c r="G6">
        <v>60000</v>
      </c>
      <c r="H6">
        <v>0.1</v>
      </c>
    </row>
    <row r="7" spans="1:8" x14ac:dyDescent="0.3">
      <c r="A7" t="s">
        <v>20</v>
      </c>
      <c r="B7" t="s">
        <v>11</v>
      </c>
      <c r="C7" t="s">
        <v>15</v>
      </c>
      <c r="D7">
        <v>2</v>
      </c>
      <c r="E7">
        <v>22000</v>
      </c>
      <c r="F7">
        <v>44000</v>
      </c>
      <c r="G7">
        <v>2200</v>
      </c>
      <c r="H7">
        <v>0.05</v>
      </c>
    </row>
    <row r="8" spans="1:8" x14ac:dyDescent="0.3">
      <c r="A8" t="s">
        <v>21</v>
      </c>
      <c r="B8" t="s">
        <v>14</v>
      </c>
      <c r="C8" t="s">
        <v>12</v>
      </c>
      <c r="D8">
        <v>60</v>
      </c>
      <c r="E8">
        <v>8500</v>
      </c>
      <c r="F8">
        <v>510000</v>
      </c>
      <c r="G8">
        <v>51000</v>
      </c>
      <c r="H8">
        <v>0.1</v>
      </c>
    </row>
    <row r="9" spans="1:8" x14ac:dyDescent="0.3">
      <c r="A9" t="s">
        <v>22</v>
      </c>
      <c r="B9" t="s">
        <v>17</v>
      </c>
      <c r="C9" t="s">
        <v>19</v>
      </c>
      <c r="D9">
        <v>35</v>
      </c>
      <c r="E9">
        <v>12000</v>
      </c>
      <c r="F9">
        <v>420000</v>
      </c>
      <c r="G9">
        <v>42000</v>
      </c>
      <c r="H9">
        <v>0.1</v>
      </c>
    </row>
    <row r="10" spans="1:8" x14ac:dyDescent="0.3">
      <c r="A10" t="s">
        <v>23</v>
      </c>
      <c r="B10" t="s">
        <v>8</v>
      </c>
      <c r="C10" t="s">
        <v>9</v>
      </c>
      <c r="D10">
        <v>10</v>
      </c>
      <c r="E10">
        <v>45000</v>
      </c>
      <c r="F10">
        <v>450000</v>
      </c>
      <c r="G10">
        <v>45000</v>
      </c>
      <c r="H10">
        <v>0.1</v>
      </c>
    </row>
    <row r="11" spans="1:8" x14ac:dyDescent="0.3">
      <c r="A11" t="s">
        <v>24</v>
      </c>
      <c r="B11" t="s">
        <v>11</v>
      </c>
      <c r="C11" t="s">
        <v>12</v>
      </c>
      <c r="D11">
        <v>45</v>
      </c>
      <c r="E11">
        <v>8500</v>
      </c>
      <c r="F11">
        <v>382500</v>
      </c>
      <c r="G11">
        <v>38250</v>
      </c>
      <c r="H11">
        <v>0.1</v>
      </c>
    </row>
    <row r="13" spans="1:8" x14ac:dyDescent="0.3">
      <c r="A13" t="s">
        <v>26</v>
      </c>
    </row>
    <row r="14" spans="1:8" x14ac:dyDescent="0.3">
      <c r="A14" t="s">
        <v>27</v>
      </c>
      <c r="B14">
        <v>298</v>
      </c>
    </row>
    <row r="15" spans="1:8" x14ac:dyDescent="0.3">
      <c r="A15" t="s">
        <v>28</v>
      </c>
      <c r="B15">
        <v>5243500</v>
      </c>
    </row>
    <row r="16" spans="1:8" x14ac:dyDescent="0.3">
      <c r="A16" t="s">
        <v>29</v>
      </c>
      <c r="B16">
        <v>521050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BC93-0A55-4EBF-9BFB-BCA7450D2CC7}">
  <dimension ref="A1:K8"/>
  <sheetViews>
    <sheetView workbookViewId="0"/>
  </sheetViews>
  <sheetFormatPr defaultRowHeight="14.4" x14ac:dyDescent="0.3"/>
  <cols>
    <col min="1" max="1" width="16.6640625" bestFit="1" customWidth="1"/>
    <col min="2" max="2" width="13.109375" bestFit="1" customWidth="1"/>
    <col min="3" max="3" width="12" bestFit="1" customWidth="1"/>
    <col min="4" max="4" width="10.77734375" bestFit="1" customWidth="1"/>
    <col min="5" max="5" width="13.109375" bestFit="1" customWidth="1"/>
    <col min="6" max="6" width="12" bestFit="1" customWidth="1"/>
    <col min="7" max="7" width="10.44140625" bestFit="1" customWidth="1"/>
    <col min="8" max="9" width="12" bestFit="1" customWidth="1"/>
    <col min="10" max="10" width="12.44140625" bestFit="1" customWidth="1"/>
    <col min="11" max="11" width="12.109375" bestFit="1" customWidth="1"/>
    <col min="13" max="13" width="20" bestFit="1" customWidth="1"/>
    <col min="14" max="14" width="14" bestFit="1" customWidth="1"/>
    <col min="15" max="15" width="15.21875" bestFit="1" customWidth="1"/>
    <col min="16" max="16" width="15.88671875" bestFit="1" customWidth="1"/>
  </cols>
  <sheetData>
    <row r="1" spans="1:11" x14ac:dyDescent="0.3">
      <c r="A1" s="5" t="s">
        <v>0</v>
      </c>
      <c r="B1" s="1" t="s">
        <v>7</v>
      </c>
      <c r="C1" s="1" t="s">
        <v>10</v>
      </c>
      <c r="D1" s="1" t="s">
        <v>13</v>
      </c>
      <c r="E1" s="1" t="s">
        <v>16</v>
      </c>
      <c r="F1" s="1" t="s">
        <v>18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3">
      <c r="A2" s="5" t="s">
        <v>1</v>
      </c>
      <c r="B2" s="1" t="s">
        <v>8</v>
      </c>
      <c r="C2" s="1" t="s">
        <v>11</v>
      </c>
      <c r="D2" s="1" t="s">
        <v>14</v>
      </c>
      <c r="E2" s="1" t="s">
        <v>17</v>
      </c>
      <c r="F2" s="1" t="s">
        <v>8</v>
      </c>
      <c r="G2" s="1" t="s">
        <v>11</v>
      </c>
      <c r="H2" s="1" t="s">
        <v>14</v>
      </c>
      <c r="I2" s="1" t="s">
        <v>17</v>
      </c>
      <c r="J2" s="1" t="s">
        <v>8</v>
      </c>
      <c r="K2" s="1" t="s">
        <v>11</v>
      </c>
    </row>
    <row r="3" spans="1:11" x14ac:dyDescent="0.3">
      <c r="A3" s="5" t="s">
        <v>2</v>
      </c>
      <c r="B3" s="1" t="s">
        <v>9</v>
      </c>
      <c r="C3" s="1" t="s">
        <v>12</v>
      </c>
      <c r="D3" s="1" t="s">
        <v>15</v>
      </c>
      <c r="E3" s="1" t="s">
        <v>9</v>
      </c>
      <c r="F3" s="1" t="s">
        <v>19</v>
      </c>
      <c r="G3" s="1" t="s">
        <v>15</v>
      </c>
      <c r="H3" s="1" t="s">
        <v>12</v>
      </c>
      <c r="I3" s="1" t="s">
        <v>19</v>
      </c>
      <c r="J3" s="1" t="s">
        <v>9</v>
      </c>
      <c r="K3" s="1" t="s">
        <v>12</v>
      </c>
    </row>
    <row r="4" spans="1:11" x14ac:dyDescent="0.3">
      <c r="A4" s="5" t="s">
        <v>3</v>
      </c>
      <c r="B4" s="1">
        <v>25</v>
      </c>
      <c r="C4" s="1">
        <v>40</v>
      </c>
      <c r="D4" s="1">
        <v>1</v>
      </c>
      <c r="E4" s="1">
        <v>30</v>
      </c>
      <c r="F4" s="1">
        <v>50</v>
      </c>
      <c r="G4" s="1">
        <v>2</v>
      </c>
      <c r="H4" s="1">
        <v>60</v>
      </c>
      <c r="I4" s="1">
        <v>35</v>
      </c>
      <c r="J4" s="1">
        <v>10</v>
      </c>
      <c r="K4" s="1">
        <v>45</v>
      </c>
    </row>
    <row r="5" spans="1:11" x14ac:dyDescent="0.3">
      <c r="A5" s="5" t="s">
        <v>6</v>
      </c>
      <c r="B5" s="2">
        <v>45000</v>
      </c>
      <c r="C5" s="2">
        <v>8500</v>
      </c>
      <c r="D5" s="2">
        <v>22000</v>
      </c>
      <c r="E5" s="2">
        <v>45000</v>
      </c>
      <c r="F5" s="2">
        <v>12000</v>
      </c>
      <c r="G5" s="2">
        <v>22000</v>
      </c>
      <c r="H5" s="2">
        <v>8500</v>
      </c>
      <c r="I5" s="2">
        <v>12000</v>
      </c>
      <c r="J5" s="2">
        <v>45000</v>
      </c>
      <c r="K5" s="2">
        <v>8500</v>
      </c>
    </row>
    <row r="6" spans="1:11" x14ac:dyDescent="0.3">
      <c r="A6" s="5" t="s">
        <v>4</v>
      </c>
      <c r="B6" s="2">
        <f t="shared" ref="B6:K6" si="0">B4*B5</f>
        <v>1125000</v>
      </c>
      <c r="C6" s="2">
        <f t="shared" si="0"/>
        <v>340000</v>
      </c>
      <c r="D6" s="2">
        <f t="shared" si="0"/>
        <v>22000</v>
      </c>
      <c r="E6" s="2">
        <f t="shared" si="0"/>
        <v>1350000</v>
      </c>
      <c r="F6" s="2">
        <f t="shared" si="0"/>
        <v>600000</v>
      </c>
      <c r="G6" s="2">
        <f t="shared" si="0"/>
        <v>44000</v>
      </c>
      <c r="H6" s="2">
        <f t="shared" si="0"/>
        <v>510000</v>
      </c>
      <c r="I6" s="2">
        <f t="shared" si="0"/>
        <v>420000</v>
      </c>
      <c r="J6" s="2">
        <f t="shared" si="0"/>
        <v>450000</v>
      </c>
      <c r="K6" s="2">
        <f t="shared" si="0"/>
        <v>382500</v>
      </c>
    </row>
    <row r="7" spans="1:11" x14ac:dyDescent="0.3">
      <c r="A7" s="5" t="s">
        <v>5</v>
      </c>
      <c r="B7" s="2">
        <f t="shared" ref="B7:K7" si="1">IF(B6&gt;50000,B6*10%,B6*5%)</f>
        <v>112500</v>
      </c>
      <c r="C7" s="2">
        <f t="shared" si="1"/>
        <v>34000</v>
      </c>
      <c r="D7" s="2">
        <f t="shared" si="1"/>
        <v>1100</v>
      </c>
      <c r="E7" s="2">
        <f t="shared" si="1"/>
        <v>135000</v>
      </c>
      <c r="F7" s="2">
        <f t="shared" si="1"/>
        <v>60000</v>
      </c>
      <c r="G7" s="2">
        <f t="shared" si="1"/>
        <v>2200</v>
      </c>
      <c r="H7" s="2">
        <f t="shared" si="1"/>
        <v>51000</v>
      </c>
      <c r="I7" s="2">
        <f t="shared" si="1"/>
        <v>42000</v>
      </c>
      <c r="J7" s="2">
        <f t="shared" si="1"/>
        <v>45000</v>
      </c>
      <c r="K7" s="2">
        <f t="shared" si="1"/>
        <v>38250</v>
      </c>
    </row>
    <row r="8" spans="1:11" x14ac:dyDescent="0.3">
      <c r="A8" s="5" t="s">
        <v>25</v>
      </c>
      <c r="B8" s="3">
        <f t="shared" ref="B8:K8" si="2">IF(B6&gt;50000,10%,5%)</f>
        <v>0.1</v>
      </c>
      <c r="C8" s="3">
        <f t="shared" si="2"/>
        <v>0.1</v>
      </c>
      <c r="D8" s="3">
        <f t="shared" si="2"/>
        <v>0.05</v>
      </c>
      <c r="E8" s="3">
        <f t="shared" si="2"/>
        <v>0.1</v>
      </c>
      <c r="F8" s="3">
        <f t="shared" si="2"/>
        <v>0.1</v>
      </c>
      <c r="G8" s="3">
        <f t="shared" si="2"/>
        <v>0.05</v>
      </c>
      <c r="H8" s="3">
        <f t="shared" si="2"/>
        <v>0.1</v>
      </c>
      <c r="I8" s="3">
        <f t="shared" si="2"/>
        <v>0.1</v>
      </c>
      <c r="J8" s="3">
        <f t="shared" si="2"/>
        <v>0.1</v>
      </c>
      <c r="K8" s="3">
        <f t="shared" si="2"/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Copied Data</vt:lpstr>
      <vt:lpstr>Transposed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Amarjot Kaur</dc:creator>
  <cp:lastModifiedBy>Amarjot Kaur</cp:lastModifiedBy>
  <dcterms:created xsi:type="dcterms:W3CDTF">2026-07-01T11:17:21Z</dcterms:created>
  <dcterms:modified xsi:type="dcterms:W3CDTF">2026-07-02T12:01:14Z</dcterms:modified>
</cp:coreProperties>
</file>